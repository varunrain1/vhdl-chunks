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ot\OneDrive\Documents\VHDL\modules\fir_filter\"/>
    </mc:Choice>
  </mc:AlternateContent>
  <xr:revisionPtr revIDLastSave="0" documentId="13_ncr:1_{91FAC946-BA47-422E-8831-7BA30402ADDC}" xr6:coauthVersionLast="47" xr6:coauthVersionMax="47" xr10:uidLastSave="{00000000-0000-0000-0000-000000000000}"/>
  <bookViews>
    <workbookView xWindow="-108" yWindow="-108" windowWidth="23256" windowHeight="12456" xr2:uid="{AA2E42B5-DA60-480B-9FF6-CAACAEF237FF}"/>
  </bookViews>
  <sheets>
    <sheet name="HPFLPF" sheetId="1" r:id="rId1"/>
    <sheet name="BPBS" sheetId="2" r:id="rId2"/>
    <sheet name="cutoff" sheetId="7" r:id="rId3"/>
    <sheet name="Kaiser" sheetId="6" r:id="rId4"/>
    <sheet name="Bessel" sheetId="5" r:id="rId5"/>
    <sheet name="m index" sheetId="3" r:id="rId6"/>
    <sheet name="impulse response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J12" i="2"/>
  <c r="E23" i="2"/>
  <c r="E20" i="2"/>
  <c r="E22" i="2" s="1"/>
  <c r="E19" i="2"/>
  <c r="E21" i="2" s="1"/>
  <c r="E16" i="2"/>
  <c r="E17" i="2" s="1"/>
  <c r="E18" i="2" s="1"/>
  <c r="E24" i="2" s="1"/>
  <c r="E15" i="2"/>
  <c r="E14" i="2"/>
  <c r="E13" i="2"/>
  <c r="E12" i="2"/>
  <c r="E11" i="2"/>
  <c r="E26" i="2"/>
  <c r="E27" i="2" s="1"/>
  <c r="K10" i="1"/>
  <c r="J10" i="1"/>
  <c r="E19" i="1"/>
  <c r="E18" i="1"/>
  <c r="E13" i="1"/>
  <c r="E14" i="1" s="1"/>
  <c r="E11" i="1"/>
  <c r="E10" i="1"/>
  <c r="E9" i="1"/>
  <c r="E15" i="1"/>
  <c r="E12" i="1" l="1"/>
  <c r="E16" i="1" s="1"/>
</calcChain>
</file>

<file path=xl/sharedStrings.xml><?xml version="1.0" encoding="utf-8"?>
<sst xmlns="http://schemas.openxmlformats.org/spreadsheetml/2006/main" count="128" uniqueCount="74">
  <si>
    <t>Fs</t>
  </si>
  <si>
    <t>fs</t>
  </si>
  <si>
    <t>fp</t>
  </si>
  <si>
    <t>A</t>
  </si>
  <si>
    <t>fc</t>
  </si>
  <si>
    <t>w</t>
  </si>
  <si>
    <t>del f</t>
  </si>
  <si>
    <t>N</t>
  </si>
  <si>
    <t>B</t>
  </si>
  <si>
    <t>Given</t>
  </si>
  <si>
    <t>fn</t>
  </si>
  <si>
    <t>Normalized stop band</t>
  </si>
  <si>
    <t>Normalized pass band</t>
  </si>
  <si>
    <t>angular frequency</t>
  </si>
  <si>
    <t>cut off</t>
  </si>
  <si>
    <t>normalized cut off</t>
  </si>
  <si>
    <t>Kaiser</t>
  </si>
  <si>
    <t>Number of taps</t>
  </si>
  <si>
    <t>Sampling frequency</t>
  </si>
  <si>
    <t>Stop band</t>
  </si>
  <si>
    <t>Pass band</t>
  </si>
  <si>
    <t>Attenuation</t>
  </si>
  <si>
    <t>Units</t>
  </si>
  <si>
    <t>samples/sec</t>
  </si>
  <si>
    <t>cycles/sec</t>
  </si>
  <si>
    <t>dB</t>
  </si>
  <si>
    <t>cycles/sample</t>
  </si>
  <si>
    <t>rad/sample</t>
  </si>
  <si>
    <t>Noremalized Transition band</t>
  </si>
  <si>
    <t>N/A</t>
  </si>
  <si>
    <t>Center index</t>
  </si>
  <si>
    <t>M</t>
  </si>
  <si>
    <t>Odd round off N</t>
  </si>
  <si>
    <t>Group delay</t>
  </si>
  <si>
    <t>t</t>
  </si>
  <si>
    <t>sec</t>
  </si>
  <si>
    <t>m=0</t>
  </si>
  <si>
    <t>LPF</t>
  </si>
  <si>
    <t>HPF</t>
  </si>
  <si>
    <t>Impulse response</t>
  </si>
  <si>
    <t>m!= 0</t>
  </si>
  <si>
    <t>Lower Stop band</t>
  </si>
  <si>
    <t>fs1</t>
  </si>
  <si>
    <t>Upper stop band</t>
  </si>
  <si>
    <t>fs2</t>
  </si>
  <si>
    <t>Lower pass band</t>
  </si>
  <si>
    <t>Upper pass band</t>
  </si>
  <si>
    <t>fp1</t>
  </si>
  <si>
    <t>fp2</t>
  </si>
  <si>
    <t>Normalized lower stop band</t>
  </si>
  <si>
    <t>fs1n</t>
  </si>
  <si>
    <t>Normalized upper stop band</t>
  </si>
  <si>
    <t>fs2n</t>
  </si>
  <si>
    <t>Normalized lower pass band</t>
  </si>
  <si>
    <t>fp1n</t>
  </si>
  <si>
    <t>Normalized upper pass band</t>
  </si>
  <si>
    <t>fp2n</t>
  </si>
  <si>
    <t>Transition lower band</t>
  </si>
  <si>
    <t>del f1</t>
  </si>
  <si>
    <t>Transition upper band</t>
  </si>
  <si>
    <t>del f2</t>
  </si>
  <si>
    <t>Lowe cut off</t>
  </si>
  <si>
    <t>fcl</t>
  </si>
  <si>
    <t>Higher cut off</t>
  </si>
  <si>
    <t>fch</t>
  </si>
  <si>
    <t>normalized lower cut off</t>
  </si>
  <si>
    <t>fln</t>
  </si>
  <si>
    <t>Normalized higher cut off</t>
  </si>
  <si>
    <t>fhn</t>
  </si>
  <si>
    <t>m!=0</t>
  </si>
  <si>
    <t>BPF</t>
  </si>
  <si>
    <t>BSF</t>
  </si>
  <si>
    <t>Denotion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</si>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</sst>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350520</xdr:colOff>
      <xdr:row>39</xdr:row>
      <xdr:rowOff>132840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EC585-B84E-E42D-8D29-25B13481F4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321" b="22988"/>
        <a:stretch>
          <a:fillRect/>
        </a:stretch>
      </xdr:blipFill>
      <xdr:spPr bwMode="auto">
        <a:xfrm>
          <a:off x="0" y="0"/>
          <a:ext cx="8275320" cy="7265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220980</xdr:colOff>
      <xdr:row>46</xdr:row>
      <xdr:rowOff>124126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0FA67D-7A3F-4332-EFD3-1D46CD716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64980" cy="8536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0</xdr:row>
      <xdr:rowOff>0</xdr:rowOff>
    </xdr:from>
    <xdr:to>
      <xdr:col>16</xdr:col>
      <xdr:colOff>350520</xdr:colOff>
      <xdr:row>16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9694C-2900-9ED8-4E90-7381760166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17" r="49187" b="49449"/>
        <a:stretch>
          <a:fillRect/>
        </a:stretch>
      </xdr:blipFill>
      <xdr:spPr bwMode="auto">
        <a:xfrm>
          <a:off x="2484120" y="0"/>
          <a:ext cx="7620000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8198</xdr:colOff>
      <xdr:row>18</xdr:row>
      <xdr:rowOff>68871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2E2BF-FD0A-41DD-AA6E-8860F6E0C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4598" cy="33607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335280</xdr:colOff>
      <xdr:row>53</xdr:row>
      <xdr:rowOff>73273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F061E-985B-8641-E1AD-0ECC24F0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88880" cy="9765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A44D-EE21-494E-B800-5A4E9853F4A8}">
  <dimension ref="C3:M20"/>
  <sheetViews>
    <sheetView tabSelected="1" topLeftCell="A7" zoomScaleNormal="100" workbookViewId="0">
      <selection activeCell="C20" sqref="C20:D20"/>
    </sheetView>
  </sheetViews>
  <sheetFormatPr defaultRowHeight="14.4" x14ac:dyDescent="0.3"/>
  <cols>
    <col min="3" max="3" width="19.88671875" style="5" customWidth="1"/>
    <col min="5" max="5" width="10" bestFit="1" customWidth="1"/>
    <col min="6" max="6" width="13" style="6" customWidth="1"/>
  </cols>
  <sheetData>
    <row r="3" spans="3:13" x14ac:dyDescent="0.3">
      <c r="C3" s="4" t="s">
        <v>9</v>
      </c>
      <c r="D3" s="1" t="s">
        <v>72</v>
      </c>
      <c r="E3" s="4" t="s">
        <v>73</v>
      </c>
      <c r="F3" s="2" t="s">
        <v>22</v>
      </c>
    </row>
    <row r="4" spans="3:13" ht="28.8" x14ac:dyDescent="0.3">
      <c r="C4" s="5" t="s">
        <v>18</v>
      </c>
      <c r="D4" s="3" t="s">
        <v>0</v>
      </c>
      <c r="E4" s="3">
        <v>48</v>
      </c>
      <c r="F4" s="6" t="s">
        <v>23</v>
      </c>
    </row>
    <row r="5" spans="3:13" x14ac:dyDescent="0.3">
      <c r="C5" s="5" t="s">
        <v>19</v>
      </c>
      <c r="D5" s="3" t="s">
        <v>1</v>
      </c>
      <c r="E5" s="3">
        <v>5</v>
      </c>
      <c r="F5" s="6" t="s">
        <v>24</v>
      </c>
    </row>
    <row r="6" spans="3:13" x14ac:dyDescent="0.3">
      <c r="C6" s="5" t="s">
        <v>20</v>
      </c>
      <c r="D6" s="3" t="s">
        <v>2</v>
      </c>
      <c r="E6" s="3">
        <v>8</v>
      </c>
      <c r="F6" s="6" t="s">
        <v>24</v>
      </c>
    </row>
    <row r="7" spans="3:13" x14ac:dyDescent="0.3">
      <c r="C7" s="5" t="s">
        <v>21</v>
      </c>
      <c r="D7" s="3" t="s">
        <v>3</v>
      </c>
      <c r="E7" s="3">
        <v>50</v>
      </c>
      <c r="F7" s="6" t="s">
        <v>25</v>
      </c>
    </row>
    <row r="8" spans="3:13" s="9" customFormat="1" x14ac:dyDescent="0.3">
      <c r="C8" s="10"/>
      <c r="D8" s="7"/>
      <c r="E8" s="7"/>
      <c r="F8" s="8"/>
      <c r="J8" s="11" t="s">
        <v>39</v>
      </c>
    </row>
    <row r="9" spans="3:13" ht="28.8" x14ac:dyDescent="0.3">
      <c r="C9" s="5" t="s">
        <v>11</v>
      </c>
      <c r="D9" s="3" t="s">
        <v>1</v>
      </c>
      <c r="E9" s="3">
        <f>E5/E4</f>
        <v>0.10416666666666667</v>
      </c>
      <c r="F9" s="6" t="s">
        <v>26</v>
      </c>
      <c r="J9" s="1" t="s">
        <v>37</v>
      </c>
      <c r="K9" s="1" t="s">
        <v>38</v>
      </c>
      <c r="L9" s="1"/>
      <c r="M9" s="1"/>
    </row>
    <row r="10" spans="3:13" ht="28.8" x14ac:dyDescent="0.3">
      <c r="C10" s="5" t="s">
        <v>12</v>
      </c>
      <c r="D10" s="3" t="s">
        <v>2</v>
      </c>
      <c r="E10" s="3">
        <f>E6/E4</f>
        <v>0.16666666666666666</v>
      </c>
      <c r="F10" s="6" t="s">
        <v>26</v>
      </c>
      <c r="I10" s="1" t="s">
        <v>36</v>
      </c>
      <c r="J10">
        <f>2*E14</f>
        <v>0.27083333333333331</v>
      </c>
      <c r="K10">
        <f>1-J10</f>
        <v>0.72916666666666674</v>
      </c>
    </row>
    <row r="11" spans="3:13" ht="43.2" x14ac:dyDescent="0.3">
      <c r="C11" s="5" t="s">
        <v>28</v>
      </c>
      <c r="D11" s="3" t="s">
        <v>6</v>
      </c>
      <c r="E11" s="3">
        <f>3/48</f>
        <v>6.25E-2</v>
      </c>
      <c r="F11" s="6" t="s">
        <v>26</v>
      </c>
      <c r="I11" s="1" t="s">
        <v>40</v>
      </c>
    </row>
    <row r="12" spans="3:13" ht="28.8" x14ac:dyDescent="0.3">
      <c r="C12" s="5" t="s">
        <v>13</v>
      </c>
      <c r="D12" s="3" t="s">
        <v>5</v>
      </c>
      <c r="E12" s="3">
        <f>2*3.14*E11</f>
        <v>0.39250000000000002</v>
      </c>
      <c r="F12" s="6" t="s">
        <v>27</v>
      </c>
    </row>
    <row r="13" spans="3:13" x14ac:dyDescent="0.3">
      <c r="C13" s="5" t="s">
        <v>14</v>
      </c>
      <c r="D13" s="3" t="s">
        <v>4</v>
      </c>
      <c r="E13" s="3">
        <f>(E6+E5)/2</f>
        <v>6.5</v>
      </c>
      <c r="F13" s="6" t="s">
        <v>24</v>
      </c>
    </row>
    <row r="14" spans="3:13" ht="28.8" x14ac:dyDescent="0.3">
      <c r="C14" s="5" t="s">
        <v>15</v>
      </c>
      <c r="D14" s="3" t="s">
        <v>10</v>
      </c>
      <c r="E14" s="3">
        <f>E13/E4</f>
        <v>0.13541666666666666</v>
      </c>
      <c r="F14" s="6" t="s">
        <v>26</v>
      </c>
    </row>
    <row r="15" spans="3:13" x14ac:dyDescent="0.3">
      <c r="C15" s="5" t="s">
        <v>16</v>
      </c>
      <c r="D15" s="3" t="s">
        <v>8</v>
      </c>
      <c r="E15" s="3">
        <f>(0.5842*POWER((E7-21),0.4))+(0.07886*(E7-21))</f>
        <v>4.5335141209812484</v>
      </c>
      <c r="F15" s="6" t="s">
        <v>29</v>
      </c>
    </row>
    <row r="16" spans="3:13" ht="28.8" x14ac:dyDescent="0.3">
      <c r="C16" s="5" t="s">
        <v>17</v>
      </c>
      <c r="D16" s="3" t="s">
        <v>7</v>
      </c>
      <c r="E16" s="3">
        <f>((E7-7.95)/(2.285*E12))+1</f>
        <v>47.885670880430382</v>
      </c>
      <c r="F16" s="6" t="s">
        <v>29</v>
      </c>
    </row>
    <row r="17" spans="3:6" ht="28.8" x14ac:dyDescent="0.3">
      <c r="C17" s="5" t="s">
        <v>32</v>
      </c>
      <c r="D17" s="3" t="s">
        <v>7</v>
      </c>
      <c r="E17" s="3">
        <v>49</v>
      </c>
    </row>
    <row r="18" spans="3:6" x14ac:dyDescent="0.3">
      <c r="C18" s="5" t="s">
        <v>30</v>
      </c>
      <c r="D18" s="3" t="s">
        <v>31</v>
      </c>
      <c r="E18" s="3">
        <f>(E17-1)/2</f>
        <v>24</v>
      </c>
    </row>
    <row r="19" spans="3:6" x14ac:dyDescent="0.3">
      <c r="C19" s="5" t="s">
        <v>33</v>
      </c>
      <c r="D19" s="3" t="s">
        <v>34</v>
      </c>
      <c r="E19">
        <f>E18/(E4*10^6)</f>
        <v>4.9999999999999998E-7</v>
      </c>
      <c r="F19" s="6" t="s">
        <v>35</v>
      </c>
    </row>
    <row r="20" spans="3:6" x14ac:dyDescent="0.3">
      <c r="D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DF94-F274-4F54-A22B-95F065739524}">
  <dimension ref="C2:K27"/>
  <sheetViews>
    <sheetView topLeftCell="A16" zoomScaleNormal="100" workbookViewId="0">
      <selection activeCell="E2" sqref="E2"/>
    </sheetView>
  </sheetViews>
  <sheetFormatPr defaultRowHeight="14.4" x14ac:dyDescent="0.3"/>
  <cols>
    <col min="3" max="3" width="19.6640625" bestFit="1" customWidth="1"/>
    <col min="6" max="6" width="12.21875" customWidth="1"/>
  </cols>
  <sheetData>
    <row r="2" spans="3:11" x14ac:dyDescent="0.3">
      <c r="C2" s="5" t="s">
        <v>9</v>
      </c>
      <c r="D2" s="5" t="s">
        <v>72</v>
      </c>
      <c r="E2" s="5" t="s">
        <v>73</v>
      </c>
      <c r="F2" s="5" t="s">
        <v>22</v>
      </c>
    </row>
    <row r="3" spans="3:11" x14ac:dyDescent="0.3">
      <c r="C3" s="5"/>
      <c r="E3" s="12"/>
    </row>
    <row r="4" spans="3:11" x14ac:dyDescent="0.3">
      <c r="C4" s="5" t="s">
        <v>18</v>
      </c>
      <c r="D4" s="12" t="s">
        <v>0</v>
      </c>
      <c r="E4" s="12">
        <v>80</v>
      </c>
      <c r="F4" s="12" t="s">
        <v>23</v>
      </c>
    </row>
    <row r="5" spans="3:11" ht="18.600000000000001" customHeight="1" x14ac:dyDescent="0.3">
      <c r="C5" s="5" t="s">
        <v>41</v>
      </c>
      <c r="D5" s="12" t="s">
        <v>42</v>
      </c>
      <c r="E5" s="12">
        <v>14</v>
      </c>
      <c r="F5" s="12" t="s">
        <v>24</v>
      </c>
    </row>
    <row r="6" spans="3:11" ht="18.600000000000001" customHeight="1" x14ac:dyDescent="0.3">
      <c r="C6" s="5" t="s">
        <v>43</v>
      </c>
      <c r="D6" s="12" t="s">
        <v>44</v>
      </c>
      <c r="E6" s="12">
        <v>20</v>
      </c>
      <c r="F6" s="12" t="s">
        <v>24</v>
      </c>
    </row>
    <row r="7" spans="3:11" ht="18.600000000000001" customHeight="1" x14ac:dyDescent="0.3">
      <c r="C7" s="5" t="s">
        <v>45</v>
      </c>
      <c r="D7" s="12" t="s">
        <v>47</v>
      </c>
      <c r="E7" s="12">
        <v>10</v>
      </c>
      <c r="F7" s="12" t="s">
        <v>24</v>
      </c>
    </row>
    <row r="8" spans="3:11" ht="20.399999999999999" customHeight="1" x14ac:dyDescent="0.3">
      <c r="C8" s="5" t="s">
        <v>46</v>
      </c>
      <c r="D8" s="12" t="s">
        <v>48</v>
      </c>
      <c r="E8" s="12">
        <v>24</v>
      </c>
      <c r="F8" s="12" t="s">
        <v>24</v>
      </c>
    </row>
    <row r="9" spans="3:11" ht="20.399999999999999" customHeight="1" x14ac:dyDescent="0.3">
      <c r="C9" s="5" t="s">
        <v>21</v>
      </c>
      <c r="D9" s="12" t="s">
        <v>3</v>
      </c>
      <c r="E9" s="12">
        <v>60</v>
      </c>
      <c r="F9" s="12" t="s">
        <v>25</v>
      </c>
    </row>
    <row r="10" spans="3:11" s="9" customFormat="1" x14ac:dyDescent="0.3">
      <c r="C10" s="10"/>
      <c r="D10" s="13"/>
      <c r="E10" s="13"/>
      <c r="F10" s="13"/>
      <c r="I10" s="11" t="s">
        <v>39</v>
      </c>
    </row>
    <row r="11" spans="3:11" ht="28.8" x14ac:dyDescent="0.3">
      <c r="C11" s="5" t="s">
        <v>49</v>
      </c>
      <c r="D11" s="12" t="s">
        <v>50</v>
      </c>
      <c r="E11" s="12">
        <f>E5/E4</f>
        <v>0.17499999999999999</v>
      </c>
      <c r="F11" s="12" t="s">
        <v>26</v>
      </c>
      <c r="H11" s="1"/>
      <c r="J11" s="1" t="s">
        <v>70</v>
      </c>
      <c r="K11" s="1" t="s">
        <v>71</v>
      </c>
    </row>
    <row r="12" spans="3:11" ht="28.8" x14ac:dyDescent="0.3">
      <c r="C12" s="5" t="s">
        <v>51</v>
      </c>
      <c r="D12" s="12" t="s">
        <v>52</v>
      </c>
      <c r="E12" s="12">
        <f>E6/E4</f>
        <v>0.25</v>
      </c>
      <c r="F12" s="12" t="s">
        <v>26</v>
      </c>
      <c r="H12" s="1"/>
      <c r="I12" s="1" t="s">
        <v>36</v>
      </c>
      <c r="J12">
        <f>2*(E22-E21)</f>
        <v>0.25000000000000006</v>
      </c>
      <c r="K12">
        <f>1-J12</f>
        <v>0.75</v>
      </c>
    </row>
    <row r="13" spans="3:11" ht="30" customHeight="1" x14ac:dyDescent="0.3">
      <c r="C13" s="5" t="s">
        <v>53</v>
      </c>
      <c r="D13" s="12" t="s">
        <v>54</v>
      </c>
      <c r="E13" s="12">
        <f>E7/E4</f>
        <v>0.125</v>
      </c>
      <c r="F13" s="12" t="s">
        <v>26</v>
      </c>
      <c r="H13" s="1"/>
      <c r="I13" s="1" t="s">
        <v>69</v>
      </c>
    </row>
    <row r="14" spans="3:11" ht="30" customHeight="1" x14ac:dyDescent="0.3">
      <c r="C14" s="5" t="s">
        <v>55</v>
      </c>
      <c r="D14" s="12" t="s">
        <v>56</v>
      </c>
      <c r="E14" s="12">
        <f>E8/E4</f>
        <v>0.3</v>
      </c>
      <c r="F14" s="12" t="s">
        <v>26</v>
      </c>
      <c r="H14" s="1"/>
    </row>
    <row r="15" spans="3:11" ht="30" customHeight="1" x14ac:dyDescent="0.3">
      <c r="C15" s="5" t="s">
        <v>57</v>
      </c>
      <c r="D15" s="12" t="s">
        <v>58</v>
      </c>
      <c r="E15" s="12">
        <f>E5-E7</f>
        <v>4</v>
      </c>
      <c r="F15" s="12" t="s">
        <v>24</v>
      </c>
      <c r="H15" s="1"/>
    </row>
    <row r="16" spans="3:11" ht="30" customHeight="1" x14ac:dyDescent="0.3">
      <c r="C16" s="5" t="s">
        <v>59</v>
      </c>
      <c r="D16" s="12" t="s">
        <v>60</v>
      </c>
      <c r="E16" s="12">
        <f>E8-E6</f>
        <v>4</v>
      </c>
      <c r="F16" s="12" t="s">
        <v>24</v>
      </c>
      <c r="H16" s="1"/>
    </row>
    <row r="17" spans="3:6" ht="28.8" x14ac:dyDescent="0.3">
      <c r="C17" s="5" t="s">
        <v>28</v>
      </c>
      <c r="D17" s="12" t="s">
        <v>6</v>
      </c>
      <c r="E17" s="12">
        <f>E16/E4</f>
        <v>0.05</v>
      </c>
      <c r="F17" s="12" t="s">
        <v>26</v>
      </c>
    </row>
    <row r="18" spans="3:6" ht="15" customHeight="1" x14ac:dyDescent="0.3">
      <c r="C18" s="5" t="s">
        <v>13</v>
      </c>
      <c r="D18" s="12" t="s">
        <v>5</v>
      </c>
      <c r="E18" s="12">
        <f>2*3.14*E17</f>
        <v>0.31400000000000006</v>
      </c>
      <c r="F18" s="12" t="s">
        <v>27</v>
      </c>
    </row>
    <row r="19" spans="3:6" ht="18" customHeight="1" x14ac:dyDescent="0.3">
      <c r="C19" s="5" t="s">
        <v>61</v>
      </c>
      <c r="D19" s="12" t="s">
        <v>62</v>
      </c>
      <c r="E19" s="12">
        <f>(E5+E7)/2</f>
        <v>12</v>
      </c>
      <c r="F19" s="12" t="s">
        <v>24</v>
      </c>
    </row>
    <row r="20" spans="3:6" ht="18" customHeight="1" x14ac:dyDescent="0.3">
      <c r="C20" s="5" t="s">
        <v>63</v>
      </c>
      <c r="D20" s="12" t="s">
        <v>64</v>
      </c>
      <c r="E20" s="12">
        <f>(E8+E6)/2</f>
        <v>22</v>
      </c>
      <c r="F20" s="12" t="s">
        <v>24</v>
      </c>
    </row>
    <row r="21" spans="3:6" ht="28.8" x14ac:dyDescent="0.3">
      <c r="C21" s="5" t="s">
        <v>65</v>
      </c>
      <c r="D21" s="12" t="s">
        <v>66</v>
      </c>
      <c r="E21" s="12">
        <f>E19/E4</f>
        <v>0.15</v>
      </c>
      <c r="F21" s="12" t="s">
        <v>26</v>
      </c>
    </row>
    <row r="22" spans="3:6" ht="28.8" x14ac:dyDescent="0.3">
      <c r="C22" s="5" t="s">
        <v>67</v>
      </c>
      <c r="D22" s="12" t="s">
        <v>68</v>
      </c>
      <c r="E22" s="12">
        <f>E20/E4</f>
        <v>0.27500000000000002</v>
      </c>
      <c r="F22" s="12" t="s">
        <v>26</v>
      </c>
    </row>
    <row r="23" spans="3:6" x14ac:dyDescent="0.3">
      <c r="C23" s="5" t="s">
        <v>16</v>
      </c>
      <c r="D23" s="12" t="s">
        <v>8</v>
      </c>
      <c r="E23" s="12">
        <f>0.1102*(E9-8.7)</f>
        <v>5.6532600000000004</v>
      </c>
      <c r="F23" s="12" t="s">
        <v>29</v>
      </c>
    </row>
    <row r="24" spans="3:6" ht="19.2" customHeight="1" x14ac:dyDescent="0.3">
      <c r="C24" s="5" t="s">
        <v>17</v>
      </c>
      <c r="D24" s="12" t="s">
        <v>7</v>
      </c>
      <c r="E24" s="12">
        <f>((E9-7.95)/(2.285*E18))+1</f>
        <v>73.5445650810464</v>
      </c>
      <c r="F24" s="12" t="s">
        <v>29</v>
      </c>
    </row>
    <row r="25" spans="3:6" ht="19.2" customHeight="1" x14ac:dyDescent="0.3">
      <c r="C25" s="5" t="s">
        <v>32</v>
      </c>
      <c r="D25" s="12" t="s">
        <v>7</v>
      </c>
      <c r="E25" s="12">
        <v>75</v>
      </c>
      <c r="F25" s="12"/>
    </row>
    <row r="26" spans="3:6" ht="18" customHeight="1" x14ac:dyDescent="0.3">
      <c r="C26" s="5" t="s">
        <v>30</v>
      </c>
      <c r="D26" s="12" t="s">
        <v>31</v>
      </c>
      <c r="E26" s="12">
        <f>(E25-1)/2</f>
        <v>37</v>
      </c>
      <c r="F26" s="12"/>
    </row>
    <row r="27" spans="3:6" x14ac:dyDescent="0.3">
      <c r="C27" s="5" t="s">
        <v>33</v>
      </c>
      <c r="D27" s="12" t="s">
        <v>34</v>
      </c>
      <c r="E27" s="12">
        <f>E26/(E4*10^6)</f>
        <v>4.6250000000000002E-7</v>
      </c>
      <c r="F27" s="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066-65EC-4B32-B60E-138BD4258F4F}">
  <dimension ref="A1"/>
  <sheetViews>
    <sheetView workbookViewId="0">
      <selection activeCell="P27" sqref="P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12CF-2A49-4943-BACB-FFEFE19399FF}">
  <dimension ref="A1"/>
  <sheetViews>
    <sheetView topLeftCell="A10" workbookViewId="0">
      <selection activeCell="R36" sqref="R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44EF-FB41-4FE2-B6DF-66F6E5CCF03B}">
  <dimension ref="A1"/>
  <sheetViews>
    <sheetView topLeftCell="E1" workbookViewId="0">
      <selection activeCell="M19" sqref="M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F603-7D21-46EE-B0AC-8CEFC8F08E0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FC87-A3B2-4E08-A209-60BA3916660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HPFLPF</vt:lpstr>
      <vt:lpstr>BPBS</vt:lpstr>
      <vt:lpstr>cutoff</vt:lpstr>
      <vt:lpstr>Kaiser</vt:lpstr>
      <vt:lpstr>Bessel</vt:lpstr>
      <vt:lpstr>m index</vt:lpstr>
      <vt:lpstr>impulse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Baskar</dc:creator>
  <cp:lastModifiedBy>Varun Baskar</cp:lastModifiedBy>
  <dcterms:created xsi:type="dcterms:W3CDTF">2026-10-19T10:27:25Z</dcterms:created>
  <dcterms:modified xsi:type="dcterms:W3CDTF">2026-10-21T18:49:24Z</dcterms:modified>
</cp:coreProperties>
</file>