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ot\OneDrive\Documents\VHDL\modules\iir_filter\"/>
    </mc:Choice>
  </mc:AlternateContent>
  <xr:revisionPtr revIDLastSave="0" documentId="13_ncr:1_{8E2DA4EC-70DC-4D12-9C26-FE32BD09175E}" xr6:coauthVersionLast="47" xr6:coauthVersionMax="47" xr10:uidLastSave="{00000000-0000-0000-0000-000000000000}"/>
  <bookViews>
    <workbookView xWindow="-108" yWindow="-108" windowWidth="23256" windowHeight="12456" activeTab="1" xr2:uid="{2E5E780B-25E9-4007-BA10-822CF03C9BD4}"/>
  </bookViews>
  <sheets>
    <sheet name="IIR" sheetId="1" r:id="rId1"/>
    <sheet name="Concept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E19" i="1"/>
  <c r="E17" i="1"/>
  <c r="E16" i="1"/>
  <c r="E15" i="1"/>
  <c r="E14" i="1"/>
  <c r="E12" i="1"/>
  <c r="E11" i="1"/>
</calcChain>
</file>

<file path=xl/sharedStrings.xml><?xml version="1.0" encoding="utf-8"?>
<sst xmlns="http://schemas.openxmlformats.org/spreadsheetml/2006/main" count="55" uniqueCount="48">
  <si>
    <t>Given</t>
  </si>
  <si>
    <t>Sampling frequency</t>
  </si>
  <si>
    <t>Value</t>
  </si>
  <si>
    <t>Units</t>
  </si>
  <si>
    <t>Denotion</t>
  </si>
  <si>
    <t>Fs</t>
  </si>
  <si>
    <t>cycles/sec</t>
  </si>
  <si>
    <t>Samples/sec</t>
  </si>
  <si>
    <t>dB</t>
  </si>
  <si>
    <t>cycles/sample</t>
  </si>
  <si>
    <t xml:space="preserve">Passband </t>
  </si>
  <si>
    <t>fp</t>
  </si>
  <si>
    <t>Stop band</t>
  </si>
  <si>
    <t>fs</t>
  </si>
  <si>
    <t>Max passband attenuation</t>
  </si>
  <si>
    <t>Ap</t>
  </si>
  <si>
    <t>As</t>
  </si>
  <si>
    <t>Min stopband attenuation</t>
  </si>
  <si>
    <t>passband angular frequency</t>
  </si>
  <si>
    <t>wp</t>
  </si>
  <si>
    <t>stopband angular frequency</t>
  </si>
  <si>
    <t>ws</t>
  </si>
  <si>
    <t>Prewarping equation</t>
  </si>
  <si>
    <t>Concept</t>
  </si>
  <si>
    <t>Description</t>
  </si>
  <si>
    <t>Used to convert desired digital frequency to its corresponding analog frequency before applying bilinear transformation</t>
  </si>
  <si>
    <t>radians/sec</t>
  </si>
  <si>
    <t>Passband prewarping equation</t>
  </si>
  <si>
    <t>Stopband prewarping equation</t>
  </si>
  <si>
    <t>Ωp</t>
  </si>
  <si>
    <t>Ωs</t>
  </si>
  <si>
    <t>ε</t>
  </si>
  <si>
    <t>passband filter order</t>
  </si>
  <si>
    <t>N/A</t>
  </si>
  <si>
    <t>stop band filter order</t>
  </si>
  <si>
    <t>K</t>
  </si>
  <si>
    <t>Butterworth Order</t>
  </si>
  <si>
    <t>N</t>
  </si>
  <si>
    <t>Rounded off order</t>
  </si>
  <si>
    <t>N &gt;</t>
  </si>
  <si>
    <t>Butterworth cutoff frequency</t>
  </si>
  <si>
    <t>Ωc</t>
  </si>
  <si>
    <t>H</t>
  </si>
  <si>
    <t>Output to input magnitude ratio</t>
  </si>
  <si>
    <t>H^2</t>
  </si>
  <si>
    <t>Amplitude is squared, coz if the pass frequency reaches cut off, the denominator becomes 2, and the amplitude squared becomes 1/2. Since power is proportional to amplitude squared, this denotes at cut-off the power drops to half of the input power.</t>
  </si>
  <si>
    <t>Pole</t>
  </si>
  <si>
    <t>value of the complex variable \(s\) that makes the denominator of the transfer function equal to zero. Poles determine the filter's natural modes, decay rates, and frequency-response 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</si>
</sst>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"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487680</xdr:colOff>
      <xdr:row>0</xdr:row>
      <xdr:rowOff>30480</xdr:rowOff>
    </xdr:from>
    <xdr:to>
      <xdr:col>15</xdr:col>
      <xdr:colOff>266699</xdr:colOff>
      <xdr:row>5</xdr:row>
      <xdr:rowOff>541143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BA7696-C5A0-53EF-51C1-F3F5E67EE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45380" y="30480"/>
          <a:ext cx="6484619" cy="1425063"/>
        </a:xfrm>
        <a:prstGeom prst="rect">
          <a:avLst/>
        </a:prstGeom>
      </xdr:spPr>
    </xdr:pic>
    <xdr:clientData/>
  </xdr:twoCellAnchor>
  <xdr:twoCellAnchor editAs="oneCell">
    <xdr:from>
      <xdr:col>4</xdr:col>
      <xdr:colOff>480061</xdr:colOff>
      <xdr:row>5</xdr:row>
      <xdr:rowOff>472440</xdr:rowOff>
    </xdr:from>
    <xdr:to>
      <xdr:col>14</xdr:col>
      <xdr:colOff>396241</xdr:colOff>
      <xdr:row>11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61E864-6F9E-4589-82D5-A8A5C0568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37761" y="1386840"/>
          <a:ext cx="6012180" cy="3497580"/>
        </a:xfrm>
        <a:prstGeom prst="rect">
          <a:avLst/>
        </a:prstGeom>
      </xdr:spPr>
    </xdr:pic>
    <xdr:clientData/>
  </xdr:twoCellAnchor>
  <xdr:twoCellAnchor editAs="oneCell">
    <xdr:from>
      <xdr:col>4</xdr:col>
      <xdr:colOff>502920</xdr:colOff>
      <xdr:row>11</xdr:row>
      <xdr:rowOff>60960</xdr:rowOff>
    </xdr:from>
    <xdr:to>
      <xdr:col>15</xdr:col>
      <xdr:colOff>15779</xdr:colOff>
      <xdr:row>19</xdr:row>
      <xdr:rowOff>160155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958F16F-EA12-C5CB-F24D-6D6E02666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60620" y="4815840"/>
          <a:ext cx="6218459" cy="1562235"/>
        </a:xfrm>
        <a:prstGeom prst="rect">
          <a:avLst/>
        </a:prstGeom>
      </xdr:spPr>
    </xdr:pic>
    <xdr:clientData/>
  </xdr:twoCellAnchor>
  <xdr:twoCellAnchor editAs="oneCell">
    <xdr:from>
      <xdr:col>4</xdr:col>
      <xdr:colOff>601980</xdr:colOff>
      <xdr:row>19</xdr:row>
      <xdr:rowOff>137160</xdr:rowOff>
    </xdr:from>
    <xdr:to>
      <xdr:col>19</xdr:col>
      <xdr:colOff>275084</xdr:colOff>
      <xdr:row>39</xdr:row>
      <xdr:rowOff>152718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0E2394-CE03-44C6-106F-D9302FAEA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59680" y="6355080"/>
          <a:ext cx="8817104" cy="3673158"/>
        </a:xfrm>
        <a:prstGeom prst="rect">
          <a:avLst/>
        </a:prstGeom>
      </xdr:spPr>
    </xdr:pic>
    <xdr:clientData/>
  </xdr:twoCellAnchor>
  <xdr:twoCellAnchor editAs="oneCell">
    <xdr:from>
      <xdr:col>4</xdr:col>
      <xdr:colOff>601980</xdr:colOff>
      <xdr:row>39</xdr:row>
      <xdr:rowOff>121920</xdr:rowOff>
    </xdr:from>
    <xdr:to>
      <xdr:col>15</xdr:col>
      <xdr:colOff>236769</xdr:colOff>
      <xdr:row>51</xdr:row>
      <xdr:rowOff>152593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6806592-9947-B5C4-9FF1-B9EAE746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059680" y="9997440"/>
          <a:ext cx="6340389" cy="2225233"/>
        </a:xfrm>
        <a:prstGeom prst="rect">
          <a:avLst/>
        </a:prstGeom>
      </xdr:spPr>
    </xdr:pic>
    <xdr:clientData/>
  </xdr:twoCellAnchor>
  <xdr:twoCellAnchor editAs="oneCell">
    <xdr:from>
      <xdr:col>4</xdr:col>
      <xdr:colOff>579120</xdr:colOff>
      <xdr:row>51</xdr:row>
      <xdr:rowOff>106680</xdr:rowOff>
    </xdr:from>
    <xdr:to>
      <xdr:col>18</xdr:col>
      <xdr:colOff>366481</xdr:colOff>
      <xdr:row>75</xdr:row>
      <xdr:rowOff>175646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F8E563C-C345-8707-1AE5-926F41F578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036820" y="12176760"/>
          <a:ext cx="8321761" cy="4458086"/>
        </a:xfrm>
        <a:prstGeom prst="rect">
          <a:avLst/>
        </a:prstGeom>
      </xdr:spPr>
    </xdr:pic>
    <xdr:clientData/>
  </xdr:twoCellAnchor>
  <xdr:twoCellAnchor editAs="oneCell">
    <xdr:from>
      <xdr:col>4</xdr:col>
      <xdr:colOff>594360</xdr:colOff>
      <xdr:row>75</xdr:row>
      <xdr:rowOff>175260</xdr:rowOff>
    </xdr:from>
    <xdr:to>
      <xdr:col>16</xdr:col>
      <xdr:colOff>495300</xdr:colOff>
      <xdr:row>89</xdr:row>
      <xdr:rowOff>15448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01101D7-3AF4-527C-C6CE-55F94E4A9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052060" y="16634460"/>
          <a:ext cx="7216140" cy="240050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36AC42-0004-4C84-A5DC-832E649172D3}" name="Table1" displayName="Table1" ref="C5:D12" totalsRowShown="0">
  <autoFilter ref="C5:D12" xr:uid="{8236AC42-0004-4C84-A5DC-832E649172D3}"/>
  <tableColumns count="2">
    <tableColumn id="1" xr3:uid="{92052988-F4E8-4F05-8128-60C49A336904}" name="Concept" dataDxfId="1"/>
    <tableColumn id="2" xr3:uid="{F5ED093E-1822-4734-9D3C-A6DC66EAE89C}" name="Description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5564F-812F-474F-A175-41761C5BE864}">
  <dimension ref="C3:F19"/>
  <sheetViews>
    <sheetView topLeftCell="A8" workbookViewId="0">
      <selection activeCell="E14" sqref="E14"/>
    </sheetView>
  </sheetViews>
  <sheetFormatPr defaultRowHeight="14.4" x14ac:dyDescent="0.3"/>
  <cols>
    <col min="3" max="3" width="18" style="1" bestFit="1" customWidth="1"/>
    <col min="4" max="4" width="8.77734375" style="3" bestFit="1" customWidth="1"/>
    <col min="5" max="5" width="11.5546875" style="3" bestFit="1" customWidth="1"/>
    <col min="6" max="6" width="12.33203125" style="3" customWidth="1"/>
  </cols>
  <sheetData>
    <row r="3" spans="3:6" x14ac:dyDescent="0.3">
      <c r="C3" s="1" t="s">
        <v>0</v>
      </c>
      <c r="D3" s="1" t="s">
        <v>4</v>
      </c>
      <c r="E3" s="1" t="s">
        <v>2</v>
      </c>
      <c r="F3" s="1" t="s">
        <v>3</v>
      </c>
    </row>
    <row r="5" spans="3:6" ht="28.8" x14ac:dyDescent="0.3">
      <c r="C5" s="1" t="s">
        <v>1</v>
      </c>
      <c r="D5" s="3" t="s">
        <v>5</v>
      </c>
      <c r="E5" s="3">
        <v>48</v>
      </c>
      <c r="F5" s="3" t="s">
        <v>7</v>
      </c>
    </row>
    <row r="6" spans="3:6" x14ac:dyDescent="0.3">
      <c r="C6" s="1" t="s">
        <v>10</v>
      </c>
      <c r="D6" s="3" t="s">
        <v>11</v>
      </c>
      <c r="E6" s="3">
        <v>5</v>
      </c>
      <c r="F6" s="3" t="s">
        <v>6</v>
      </c>
    </row>
    <row r="7" spans="3:6" x14ac:dyDescent="0.3">
      <c r="C7" s="1" t="s">
        <v>12</v>
      </c>
      <c r="D7" s="3" t="s">
        <v>13</v>
      </c>
      <c r="E7" s="3">
        <v>10</v>
      </c>
      <c r="F7" s="3" t="s">
        <v>6</v>
      </c>
    </row>
    <row r="8" spans="3:6" ht="28.8" x14ac:dyDescent="0.3">
      <c r="C8" s="1" t="s">
        <v>14</v>
      </c>
      <c r="D8" s="3" t="s">
        <v>15</v>
      </c>
      <c r="E8" s="3">
        <v>1</v>
      </c>
      <c r="F8" s="3" t="s">
        <v>8</v>
      </c>
    </row>
    <row r="9" spans="3:6" ht="28.8" x14ac:dyDescent="0.3">
      <c r="C9" s="1" t="s">
        <v>17</v>
      </c>
      <c r="D9" s="3" t="s">
        <v>16</v>
      </c>
      <c r="E9" s="3">
        <v>40</v>
      </c>
      <c r="F9" s="3" t="s">
        <v>8</v>
      </c>
    </row>
    <row r="10" spans="3:6" s="6" customFormat="1" x14ac:dyDescent="0.3">
      <c r="C10" s="4"/>
      <c r="D10" s="5"/>
      <c r="E10" s="5"/>
      <c r="F10" s="5"/>
    </row>
    <row r="11" spans="3:6" ht="28.8" x14ac:dyDescent="0.3">
      <c r="C11" s="1" t="s">
        <v>18</v>
      </c>
      <c r="D11" s="3" t="s">
        <v>19</v>
      </c>
      <c r="E11" s="3">
        <f>(2*3.14*E6)/E5</f>
        <v>0.65416666666666667</v>
      </c>
      <c r="F11" s="3" t="s">
        <v>9</v>
      </c>
    </row>
    <row r="12" spans="3:6" ht="28.8" x14ac:dyDescent="0.3">
      <c r="C12" s="1" t="s">
        <v>20</v>
      </c>
      <c r="D12" s="3" t="s">
        <v>21</v>
      </c>
      <c r="E12" s="3">
        <f>(2*3.14*E7)/E5</f>
        <v>1.3083333333333333</v>
      </c>
      <c r="F12" s="3" t="s">
        <v>9</v>
      </c>
    </row>
    <row r="13" spans="3:6" ht="43.2" x14ac:dyDescent="0.3">
      <c r="C13" s="1" t="s">
        <v>27</v>
      </c>
      <c r="D13" s="7" t="s">
        <v>29</v>
      </c>
      <c r="E13" s="3">
        <f>2*E5*TAN(E11/2)</f>
        <v>32.569848113143365</v>
      </c>
      <c r="F13" s="3" t="s">
        <v>26</v>
      </c>
    </row>
    <row r="14" spans="3:6" ht="43.2" x14ac:dyDescent="0.3">
      <c r="C14" s="1" t="s">
        <v>28</v>
      </c>
      <c r="D14" s="7" t="s">
        <v>30</v>
      </c>
      <c r="E14" s="3">
        <f>2*E5*TAN(E12/2)</f>
        <v>73.612795861228562</v>
      </c>
      <c r="F14" s="3" t="s">
        <v>26</v>
      </c>
    </row>
    <row r="15" spans="3:6" ht="28.8" x14ac:dyDescent="0.3">
      <c r="C15" s="1" t="s">
        <v>32</v>
      </c>
      <c r="D15" s="8" t="s">
        <v>31</v>
      </c>
      <c r="E15" s="3">
        <f>POWER(10,(E8/10))-1</f>
        <v>0.25892541179416728</v>
      </c>
      <c r="F15" s="3" t="s">
        <v>33</v>
      </c>
    </row>
    <row r="16" spans="3:6" ht="28.8" x14ac:dyDescent="0.3">
      <c r="C16" s="1" t="s">
        <v>34</v>
      </c>
      <c r="D16" s="3" t="s">
        <v>35</v>
      </c>
      <c r="E16" s="3">
        <f>POWER(10,(E9/10))-1</f>
        <v>9999</v>
      </c>
      <c r="F16" s="3" t="s">
        <v>33</v>
      </c>
    </row>
    <row r="17" spans="3:6" x14ac:dyDescent="0.3">
      <c r="C17" s="1" t="s">
        <v>36</v>
      </c>
      <c r="D17" s="3" t="s">
        <v>39</v>
      </c>
      <c r="E17" s="3">
        <f>(LOG((E16/E15),2)/(2*LOG((E14/E13),2)))</f>
        <v>6.475988651804748</v>
      </c>
      <c r="F17" s="3" t="s">
        <v>33</v>
      </c>
    </row>
    <row r="18" spans="3:6" x14ac:dyDescent="0.3">
      <c r="C18" s="1" t="s">
        <v>38</v>
      </c>
      <c r="D18" s="3" t="s">
        <v>37</v>
      </c>
      <c r="E18" s="3">
        <v>7</v>
      </c>
    </row>
    <row r="19" spans="3:6" ht="28.8" x14ac:dyDescent="0.3">
      <c r="C19" s="1" t="s">
        <v>40</v>
      </c>
      <c r="D19" s="8" t="s">
        <v>41</v>
      </c>
      <c r="E19" s="3">
        <f>E13/(10^(E8/10)-1)^(1/2*E18)</f>
        <v>3687.2651491782249</v>
      </c>
      <c r="F19" s="3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54025-E25F-4DF9-9C4A-5103228FDE04}">
  <dimension ref="C5:D9"/>
  <sheetViews>
    <sheetView tabSelected="1" topLeftCell="A61" workbookViewId="0">
      <selection activeCell="D37" sqref="D37"/>
    </sheetView>
  </sheetViews>
  <sheetFormatPr defaultRowHeight="14.4" x14ac:dyDescent="0.3"/>
  <cols>
    <col min="3" max="3" width="18" style="2" bestFit="1" customWidth="1"/>
    <col min="4" max="4" width="29.21875" style="3" customWidth="1"/>
  </cols>
  <sheetData>
    <row r="5" spans="3:4" x14ac:dyDescent="0.3">
      <c r="C5" s="2" t="s">
        <v>23</v>
      </c>
      <c r="D5" s="3" t="s">
        <v>24</v>
      </c>
    </row>
    <row r="6" spans="3:4" ht="57.6" x14ac:dyDescent="0.3">
      <c r="C6" s="2" t="s">
        <v>22</v>
      </c>
      <c r="D6" s="3" t="s">
        <v>25</v>
      </c>
    </row>
    <row r="7" spans="3:4" x14ac:dyDescent="0.3">
      <c r="C7" s="2" t="s">
        <v>42</v>
      </c>
      <c r="D7" s="3" t="s">
        <v>43</v>
      </c>
    </row>
    <row r="8" spans="3:4" ht="115.2" x14ac:dyDescent="0.3">
      <c r="C8" s="2" t="s">
        <v>44</v>
      </c>
      <c r="D8" s="3" t="s">
        <v>45</v>
      </c>
    </row>
    <row r="9" spans="3:4" ht="86.4" x14ac:dyDescent="0.3">
      <c r="C9" s="2" t="s">
        <v>46</v>
      </c>
      <c r="D9" s="9" t="s">
        <v>47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IIR</vt:lpstr>
      <vt:lpstr>Concepts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 Baskar</dc:creator>
  <cp:lastModifiedBy>Varun Baskar</cp:lastModifiedBy>
  <dcterms:created xsi:type="dcterms:W3CDTF">2026-10-20T10:00:50Z</dcterms:created>
  <dcterms:modified xsi:type="dcterms:W3CDTF">2026-10-21T19:08:47Z</dcterms:modified>
</cp:coreProperties>
</file>